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coc\Documents\GitHub\LLMafia\"/>
    </mc:Choice>
  </mc:AlternateContent>
  <xr:revisionPtr revIDLastSave="0" documentId="13_ncr:1_{AC3D45DF-BE1B-4192-BDBD-1CB362123A0C}" xr6:coauthVersionLast="47" xr6:coauthVersionMax="47" xr10:uidLastSave="{00000000-0000-0000-0000-000000000000}"/>
  <bookViews>
    <workbookView xWindow="1470" yWindow="1470" windowWidth="28800" windowHeight="15285" xr2:uid="{1F1A58C9-AC47-4229-89D7-F830C065A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6" i="1" l="1"/>
  <c r="E66" i="1"/>
  <c r="G66" i="1"/>
  <c r="F66" i="1"/>
  <c r="B63" i="1"/>
  <c r="C71" i="1"/>
  <c r="C63" i="1"/>
  <c r="B71" i="1"/>
  <c r="H55" i="1"/>
  <c r="G55" i="1"/>
  <c r="F55" i="1"/>
  <c r="E55" i="1"/>
  <c r="D55" i="1"/>
  <c r="C55" i="1"/>
  <c r="H41" i="1"/>
  <c r="G41" i="1"/>
  <c r="F41" i="1"/>
  <c r="E41" i="1"/>
  <c r="D41" i="1"/>
  <c r="C41" i="1"/>
  <c r="D25" i="1"/>
  <c r="H25" i="1"/>
  <c r="F25" i="1"/>
  <c r="G25" i="1"/>
  <c r="E25" i="1"/>
  <c r="C25" i="1"/>
</calcChain>
</file>

<file path=xl/sharedStrings.xml><?xml version="1.0" encoding="utf-8"?>
<sst xmlns="http://schemas.openxmlformats.org/spreadsheetml/2006/main" count="62" uniqueCount="34">
  <si>
    <t>Bystander</t>
  </si>
  <si>
    <t>gpt-4o (non-reasoning)</t>
  </si>
  <si>
    <t>o4-mini (reasoning)</t>
  </si>
  <si>
    <t>Mafia</t>
  </si>
  <si>
    <t>Random</t>
  </si>
  <si>
    <t>In each game, there are 4 bystanders and 1 mafia, for a total of 5 players.</t>
  </si>
  <si>
    <r>
      <t xml:space="preserve">I had gpt-4-turbo read through the transcripts day by day and predict who the mafia are. </t>
    </r>
    <r>
      <rPr>
        <b/>
        <sz val="11"/>
        <color theme="1"/>
        <rFont val="Aptos Narrow"/>
        <family val="2"/>
        <scheme val="minor"/>
      </rPr>
      <t>Single Match</t>
    </r>
    <r>
      <rPr>
        <sz val="11"/>
        <color theme="1"/>
        <rFont val="Aptos Narrow"/>
        <family val="2"/>
        <scheme val="minor"/>
      </rPr>
      <t xml:space="preserve"> is the rate it got at least one of the mafia correct, </t>
    </r>
    <r>
      <rPr>
        <b/>
        <sz val="11"/>
        <color theme="1"/>
        <rFont val="Aptos Narrow"/>
        <family val="2"/>
        <scheme val="minor"/>
      </rPr>
      <t>Exact Match</t>
    </r>
    <r>
      <rPr>
        <sz val="11"/>
        <color theme="1"/>
        <rFont val="Aptos Narrow"/>
        <family val="2"/>
        <scheme val="minor"/>
      </rPr>
      <t xml:space="preserve"> is the rate it got exactly both mafia correct.</t>
    </r>
  </si>
  <si>
    <t>In each game, there are 8 bystanders and 2 mafia, for a total of 10 players. Every player is using the gpt-4o model.</t>
  </si>
  <si>
    <t>Win Rate of the Mafia (35 games)</t>
  </si>
  <si>
    <t>Day Number</t>
  </si>
  <si>
    <t>Number of games</t>
  </si>
  <si>
    <t>2 to 4</t>
  </si>
  <si>
    <t>The model that I used to classify is gpt-4-turbo, which is similar to the gpt-4 used in the other paper.</t>
  </si>
  <si>
    <t>The classifier predicted at a significantly lower rate the true mafia in the LLM games compared to the Human games. This means that the LLM deception was harder to detect compared to Human deception.</t>
  </si>
  <si>
    <t>Win Rate of the Mafia (Figure 1)</t>
  </si>
  <si>
    <t>Classifier Accuracy (Figure 2)</t>
  </si>
  <si>
    <t>Single Match - LLM Transcripts</t>
  </si>
  <si>
    <t>Exact Match - LLM Transcripts</t>
  </si>
  <si>
    <t>Single Match - Human Transcripts</t>
  </si>
  <si>
    <t>Exact Match - Human Transcripts</t>
  </si>
  <si>
    <t>Single Match - Random</t>
  </si>
  <si>
    <t>Exact Match - Random</t>
  </si>
  <si>
    <t>37.86% (53.57%)</t>
  </si>
  <si>
    <t>38.57% (56%, random 20%, random 33% if LLM is smart)</t>
  </si>
  <si>
    <t>49.29% (47.86%)</t>
  </si>
  <si>
    <t>47.06% (57.35%)</t>
  </si>
  <si>
    <t>Ablation Study: Only Voting Information</t>
  </si>
  <si>
    <t>Ablation Study: Without Voting Information</t>
  </si>
  <si>
    <t>LLM Transcripts</t>
  </si>
  <si>
    <t>Single Match Accuracies</t>
  </si>
  <si>
    <t>Human Transcripts</t>
  </si>
  <si>
    <t>Weighted Avg</t>
  </si>
  <si>
    <t>Human transcript # of data points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</si>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</sst>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i/>
      <sz val="7.5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9" fontId="0" fillId="0" borderId="0" xfId="0" applyNumberFormat="1"/>
    <xf numFmtId="0" fontId="0" fillId="3" borderId="0" xfId="0" applyFill="1"/>
    <xf numFmtId="10" fontId="0" fillId="2" borderId="1" xfId="0" applyNumberFormat="1" applyFill="1" applyBorder="1"/>
    <xf numFmtId="9" fontId="0" fillId="3" borderId="1" xfId="0" applyNumberFormat="1" applyFill="1" applyBorder="1"/>
    <xf numFmtId="0" fontId="0" fillId="2" borderId="1" xfId="0" applyFill="1" applyBorder="1"/>
    <xf numFmtId="0" fontId="0" fillId="3" borderId="1" xfId="0" applyFill="1" applyBorder="1"/>
    <xf numFmtId="9" fontId="0" fillId="2" borderId="1" xfId="0" applyNumberFormat="1" applyFill="1" applyBorder="1"/>
    <xf numFmtId="10" fontId="0" fillId="3" borderId="1" xfId="0" applyNumberFormat="1" applyFill="1" applyBorder="1"/>
    <xf numFmtId="10" fontId="0" fillId="2" borderId="2" xfId="0" applyNumberFormat="1" applyFill="1" applyBorder="1"/>
    <xf numFmtId="9" fontId="0" fillId="2" borderId="2" xfId="0" applyNumberFormat="1" applyFill="1" applyBorder="1"/>
    <xf numFmtId="0" fontId="0" fillId="0" borderId="1" xfId="0" applyBorder="1"/>
    <xf numFmtId="0" fontId="1" fillId="0" borderId="1" xfId="0" applyFont="1" applyBorder="1"/>
    <xf numFmtId="16" fontId="1" fillId="0" borderId="1" xfId="0" applyNumberFormat="1" applyFont="1" applyBorder="1"/>
    <xf numFmtId="10" fontId="1" fillId="2" borderId="2" xfId="0" applyNumberFormat="1" applyFont="1" applyFill="1" applyBorder="1"/>
    <xf numFmtId="10" fontId="1" fillId="3" borderId="1" xfId="0" applyNumberFormat="1" applyFont="1" applyFill="1" applyBorder="1"/>
    <xf numFmtId="10" fontId="1" fillId="2" borderId="1" xfId="0" applyNumberFormat="1" applyFont="1" applyFill="1" applyBorder="1"/>
    <xf numFmtId="0" fontId="1" fillId="2" borderId="0" xfId="0" applyFont="1" applyFill="1"/>
    <xf numFmtId="0" fontId="1" fillId="3" borderId="0" xfId="0" applyFont="1" applyFill="1"/>
    <xf numFmtId="10" fontId="0" fillId="0" borderId="1" xfId="0" applyNumberFormat="1" applyBorder="1"/>
    <xf numFmtId="0" fontId="0" fillId="4" borderId="1" xfId="0" applyFill="1" applyBorder="1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10" fontId="0" fillId="0" borderId="2" xfId="0" applyNumberFormat="1" applyBorder="1"/>
    <xf numFmtId="0" fontId="4" fillId="0" borderId="1" xfId="0" applyFont="1" applyBorder="1"/>
    <xf numFmtId="10" fontId="4" fillId="0" borderId="2" xfId="0" applyNumberFormat="1" applyFont="1" applyBorder="1"/>
    <xf numFmtId="10" fontId="4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10" fontId="0" fillId="0" borderId="0" xfId="0" applyNumberFormat="1"/>
    <xf numFmtId="0" fontId="0" fillId="0" borderId="3" xfId="0" applyBorder="1"/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B1576-3372-46CE-9865-A0E377F15A62}">
  <dimension ref="A1:H71"/>
  <sheetViews>
    <sheetView tabSelected="1" topLeftCell="A46" workbookViewId="0">
      <selection activeCell="G60" sqref="G60"/>
    </sheetView>
  </sheetViews>
  <sheetFormatPr defaultRowHeight="15" x14ac:dyDescent="0.25"/>
  <cols>
    <col min="1" max="1" width="12.85546875" customWidth="1"/>
    <col min="2" max="2" width="49" customWidth="1"/>
    <col min="3" max="3" width="30.42578125" customWidth="1"/>
    <col min="4" max="4" width="27.42578125" customWidth="1"/>
    <col min="5" max="5" width="32.140625" customWidth="1"/>
    <col min="6" max="6" width="30.28515625" customWidth="1"/>
    <col min="7" max="7" width="23.140625" customWidth="1"/>
    <col min="8" max="8" width="23.28515625" customWidth="1"/>
  </cols>
  <sheetData>
    <row r="1" spans="1:8" x14ac:dyDescent="0.25">
      <c r="A1" s="21" t="s">
        <v>14</v>
      </c>
    </row>
    <row r="2" spans="1:8" x14ac:dyDescent="0.25">
      <c r="A2" t="s">
        <v>5</v>
      </c>
    </row>
    <row r="3" spans="1:8" x14ac:dyDescent="0.25">
      <c r="B3" s="2" t="s">
        <v>3</v>
      </c>
      <c r="C3" s="2"/>
      <c r="D3" s="2"/>
    </row>
    <row r="4" spans="1:8" x14ac:dyDescent="0.25">
      <c r="A4" s="20" t="s">
        <v>0</v>
      </c>
      <c r="B4" s="6" t="s">
        <v>1</v>
      </c>
      <c r="C4" s="6" t="s">
        <v>2</v>
      </c>
      <c r="D4" s="6" t="s">
        <v>4</v>
      </c>
    </row>
    <row r="5" spans="1:8" x14ac:dyDescent="0.25">
      <c r="A5" s="20" t="s">
        <v>1</v>
      </c>
      <c r="B5" s="19" t="s">
        <v>23</v>
      </c>
      <c r="C5" s="19" t="s">
        <v>24</v>
      </c>
      <c r="D5" s="11"/>
    </row>
    <row r="6" spans="1:8" x14ac:dyDescent="0.25">
      <c r="A6" s="20" t="s">
        <v>2</v>
      </c>
      <c r="B6" s="19" t="s">
        <v>25</v>
      </c>
      <c r="C6" s="19" t="s">
        <v>22</v>
      </c>
      <c r="D6" s="11"/>
    </row>
    <row r="7" spans="1:8" x14ac:dyDescent="0.25">
      <c r="A7" s="20" t="s">
        <v>4</v>
      </c>
      <c r="B7" s="11"/>
      <c r="C7" s="11"/>
      <c r="D7" s="19">
        <v>0.52800000000000002</v>
      </c>
    </row>
    <row r="9" spans="1:8" x14ac:dyDescent="0.25">
      <c r="A9" s="21" t="s">
        <v>15</v>
      </c>
    </row>
    <row r="10" spans="1:8" x14ac:dyDescent="0.25">
      <c r="A10" t="s">
        <v>6</v>
      </c>
    </row>
    <row r="11" spans="1:8" x14ac:dyDescent="0.25">
      <c r="A11" t="s">
        <v>7</v>
      </c>
    </row>
    <row r="12" spans="1:8" x14ac:dyDescent="0.25">
      <c r="A12" t="s">
        <v>12</v>
      </c>
    </row>
    <row r="13" spans="1:8" x14ac:dyDescent="0.25">
      <c r="A13" t="s">
        <v>8</v>
      </c>
      <c r="B13" s="1">
        <v>0.72</v>
      </c>
    </row>
    <row r="14" spans="1:8" x14ac:dyDescent="0.25">
      <c r="A14" s="12" t="s">
        <v>10</v>
      </c>
      <c r="B14" s="12" t="s">
        <v>9</v>
      </c>
      <c r="C14" s="17" t="s">
        <v>16</v>
      </c>
      <c r="D14" s="18" t="s">
        <v>17</v>
      </c>
      <c r="E14" s="17" t="s">
        <v>18</v>
      </c>
      <c r="F14" s="18" t="s">
        <v>19</v>
      </c>
      <c r="G14" s="17" t="s">
        <v>20</v>
      </c>
      <c r="H14" s="18" t="s">
        <v>21</v>
      </c>
    </row>
    <row r="15" spans="1:8" x14ac:dyDescent="0.25">
      <c r="A15" s="11">
        <v>35</v>
      </c>
      <c r="B15" s="11">
        <v>1</v>
      </c>
      <c r="C15" s="9">
        <v>0.31430000000000002</v>
      </c>
      <c r="D15" s="4">
        <v>0</v>
      </c>
      <c r="E15" s="5"/>
      <c r="F15" s="6"/>
      <c r="G15" s="5"/>
      <c r="H15" s="6"/>
    </row>
    <row r="16" spans="1:8" x14ac:dyDescent="0.25">
      <c r="A16" s="11">
        <v>35</v>
      </c>
      <c r="B16" s="11">
        <v>2</v>
      </c>
      <c r="C16" s="9">
        <v>0.51429999999999998</v>
      </c>
      <c r="D16" s="4">
        <v>8.5699999999999998E-2</v>
      </c>
      <c r="E16" s="7">
        <v>0.8</v>
      </c>
      <c r="F16" s="8">
        <v>0.1333</v>
      </c>
      <c r="G16" s="3">
        <v>0.31730000000000003</v>
      </c>
      <c r="H16" s="8">
        <v>1.5299999999999999E-2</v>
      </c>
    </row>
    <row r="17" spans="1:8" x14ac:dyDescent="0.25">
      <c r="A17" s="11">
        <v>32</v>
      </c>
      <c r="B17" s="11">
        <v>3</v>
      </c>
      <c r="C17" s="9">
        <v>0.6875</v>
      </c>
      <c r="D17" s="8">
        <v>0.125</v>
      </c>
      <c r="E17" s="7">
        <v>0.75</v>
      </c>
      <c r="F17" s="8">
        <v>0.33329999999999999</v>
      </c>
      <c r="G17" s="3">
        <v>0.32669999999999999</v>
      </c>
      <c r="H17" s="8">
        <v>1.9099999999999999E-2</v>
      </c>
    </row>
    <row r="18" spans="1:8" x14ac:dyDescent="0.25">
      <c r="A18" s="11">
        <v>9</v>
      </c>
      <c r="B18" s="11">
        <v>4</v>
      </c>
      <c r="C18" s="10">
        <v>0.77780000000000005</v>
      </c>
      <c r="D18" s="4">
        <v>0.22220000000000001</v>
      </c>
      <c r="E18" s="7">
        <v>1</v>
      </c>
      <c r="F18" s="8">
        <v>0</v>
      </c>
      <c r="G18" s="3">
        <v>0.38750000000000001</v>
      </c>
      <c r="H18" s="8">
        <v>0.02</v>
      </c>
    </row>
    <row r="19" spans="1:8" x14ac:dyDescent="0.25">
      <c r="A19" s="11"/>
      <c r="B19" s="11"/>
      <c r="C19" s="9"/>
      <c r="D19" s="4"/>
      <c r="E19" s="5"/>
      <c r="F19" s="6"/>
      <c r="G19" s="3"/>
      <c r="H19" s="6"/>
    </row>
    <row r="20" spans="1:8" x14ac:dyDescent="0.25">
      <c r="A20" s="11"/>
      <c r="B20" s="11"/>
      <c r="C20" s="10"/>
      <c r="D20" s="8"/>
      <c r="E20" s="5"/>
      <c r="F20" s="6"/>
      <c r="G20" s="5"/>
      <c r="H20" s="6"/>
    </row>
    <row r="21" spans="1:8" x14ac:dyDescent="0.25">
      <c r="A21" s="11"/>
      <c r="B21" s="11"/>
      <c r="C21" s="9"/>
      <c r="D21" s="4"/>
      <c r="E21" s="5"/>
      <c r="F21" s="6"/>
      <c r="G21" s="5"/>
      <c r="H21" s="6"/>
    </row>
    <row r="22" spans="1:8" x14ac:dyDescent="0.25">
      <c r="A22" s="11"/>
      <c r="B22" s="11"/>
      <c r="C22" s="9"/>
      <c r="D22" s="4"/>
      <c r="E22" s="5"/>
      <c r="F22" s="6"/>
      <c r="G22" s="5"/>
      <c r="H22" s="6"/>
    </row>
    <row r="23" spans="1:8" x14ac:dyDescent="0.25">
      <c r="A23" s="11"/>
      <c r="B23" s="11"/>
      <c r="C23" s="9"/>
      <c r="D23" s="8"/>
      <c r="E23" s="5"/>
      <c r="F23" s="6"/>
      <c r="G23" s="5"/>
      <c r="H23" s="6"/>
    </row>
    <row r="24" spans="1:8" x14ac:dyDescent="0.25">
      <c r="A24" s="11"/>
      <c r="B24" s="11"/>
      <c r="C24" s="9"/>
      <c r="D24" s="8"/>
      <c r="E24" s="5"/>
      <c r="F24" s="6"/>
      <c r="G24" s="5"/>
      <c r="H24" s="6"/>
    </row>
    <row r="25" spans="1:8" x14ac:dyDescent="0.25">
      <c r="A25" s="12"/>
      <c r="B25" s="13" t="s">
        <v>11</v>
      </c>
      <c r="C25" s="14">
        <f t="shared" ref="C25:H25" si="0">AVERAGE(C16:C18)</f>
        <v>0.65986666666666671</v>
      </c>
      <c r="D25" s="15">
        <f t="shared" si="0"/>
        <v>0.14430000000000001</v>
      </c>
      <c r="E25" s="16">
        <f t="shared" si="0"/>
        <v>0.85</v>
      </c>
      <c r="F25" s="15">
        <f t="shared" si="0"/>
        <v>0.15553333333333333</v>
      </c>
      <c r="G25" s="16">
        <f t="shared" si="0"/>
        <v>0.34383333333333338</v>
      </c>
      <c r="H25" s="15">
        <f t="shared" si="0"/>
        <v>1.8133333333333335E-2</v>
      </c>
    </row>
    <row r="27" spans="1:8" x14ac:dyDescent="0.25">
      <c r="A27" t="s">
        <v>13</v>
      </c>
    </row>
    <row r="29" spans="1:8" x14ac:dyDescent="0.25">
      <c r="A29" s="21" t="s">
        <v>26</v>
      </c>
    </row>
    <row r="30" spans="1:8" x14ac:dyDescent="0.25">
      <c r="A30" s="12" t="s">
        <v>10</v>
      </c>
      <c r="B30" s="12" t="s">
        <v>9</v>
      </c>
      <c r="C30" s="17" t="s">
        <v>16</v>
      </c>
      <c r="D30" s="18" t="s">
        <v>17</v>
      </c>
      <c r="E30" s="17" t="s">
        <v>18</v>
      </c>
      <c r="F30" s="18" t="s">
        <v>19</v>
      </c>
      <c r="G30" s="17" t="s">
        <v>20</v>
      </c>
      <c r="H30" s="18" t="s">
        <v>21</v>
      </c>
    </row>
    <row r="31" spans="1:8" x14ac:dyDescent="0.25">
      <c r="A31" s="11">
        <v>35</v>
      </c>
      <c r="B31" s="11">
        <v>1</v>
      </c>
      <c r="C31" s="9">
        <v>0.62860000000000005</v>
      </c>
      <c r="D31" s="4">
        <v>0</v>
      </c>
      <c r="E31" s="5"/>
      <c r="F31" s="6"/>
      <c r="G31" s="5"/>
      <c r="H31" s="6"/>
    </row>
    <row r="32" spans="1:8" x14ac:dyDescent="0.25">
      <c r="A32" s="11">
        <v>35</v>
      </c>
      <c r="B32" s="11">
        <v>2</v>
      </c>
      <c r="C32" s="9">
        <v>0.4</v>
      </c>
      <c r="D32" s="4">
        <v>5.7099999999999998E-2</v>
      </c>
      <c r="E32" s="3">
        <v>6.6699999999999995E-2</v>
      </c>
      <c r="F32" s="8">
        <v>0</v>
      </c>
      <c r="G32" s="3">
        <v>0.31730000000000003</v>
      </c>
      <c r="H32" s="8">
        <v>1.5299999999999999E-2</v>
      </c>
    </row>
    <row r="33" spans="1:8" x14ac:dyDescent="0.25">
      <c r="A33" s="11">
        <v>32</v>
      </c>
      <c r="B33" s="11">
        <v>3</v>
      </c>
      <c r="C33" s="9">
        <v>0.84379999999999999</v>
      </c>
      <c r="D33" s="8">
        <v>0.1875</v>
      </c>
      <c r="E33" s="3">
        <v>0.33329999999999999</v>
      </c>
      <c r="F33" s="8">
        <v>0</v>
      </c>
      <c r="G33" s="3">
        <v>0.32669999999999999</v>
      </c>
      <c r="H33" s="8">
        <v>1.9099999999999999E-2</v>
      </c>
    </row>
    <row r="34" spans="1:8" x14ac:dyDescent="0.25">
      <c r="A34" s="11">
        <v>9</v>
      </c>
      <c r="B34" s="11">
        <v>4</v>
      </c>
      <c r="C34" s="10">
        <v>0.77780000000000005</v>
      </c>
      <c r="D34" s="4">
        <v>0</v>
      </c>
      <c r="E34" s="3">
        <v>0.5</v>
      </c>
      <c r="F34" s="8">
        <v>0</v>
      </c>
      <c r="G34" s="3">
        <v>0.38750000000000001</v>
      </c>
      <c r="H34" s="8">
        <v>0.02</v>
      </c>
    </row>
    <row r="35" spans="1:8" x14ac:dyDescent="0.25">
      <c r="A35" s="11"/>
      <c r="B35" s="11"/>
      <c r="C35" s="9"/>
      <c r="D35" s="4"/>
      <c r="E35" s="5"/>
      <c r="F35" s="6"/>
      <c r="G35" s="3"/>
      <c r="H35" s="6"/>
    </row>
    <row r="36" spans="1:8" x14ac:dyDescent="0.25">
      <c r="A36" s="11"/>
      <c r="B36" s="11"/>
      <c r="C36" s="10"/>
      <c r="D36" s="8"/>
      <c r="E36" s="5"/>
      <c r="F36" s="6"/>
      <c r="G36" s="5"/>
      <c r="H36" s="6"/>
    </row>
    <row r="37" spans="1:8" x14ac:dyDescent="0.25">
      <c r="A37" s="11"/>
      <c r="B37" s="11"/>
      <c r="C37" s="9"/>
      <c r="D37" s="4"/>
      <c r="E37" s="5"/>
      <c r="F37" s="6"/>
      <c r="G37" s="5"/>
      <c r="H37" s="6"/>
    </row>
    <row r="38" spans="1:8" x14ac:dyDescent="0.25">
      <c r="A38" s="11"/>
      <c r="B38" s="11"/>
      <c r="C38" s="9"/>
      <c r="D38" s="4"/>
      <c r="E38" s="5"/>
      <c r="F38" s="6"/>
      <c r="G38" s="5"/>
      <c r="H38" s="6"/>
    </row>
    <row r="39" spans="1:8" x14ac:dyDescent="0.25">
      <c r="A39" s="11"/>
      <c r="B39" s="11"/>
      <c r="C39" s="9"/>
      <c r="D39" s="8"/>
      <c r="E39" s="5"/>
      <c r="F39" s="6"/>
      <c r="G39" s="5"/>
      <c r="H39" s="6"/>
    </row>
    <row r="40" spans="1:8" x14ac:dyDescent="0.25">
      <c r="A40" s="11"/>
      <c r="B40" s="11"/>
      <c r="C40" s="9"/>
      <c r="D40" s="8"/>
      <c r="E40" s="5"/>
      <c r="F40" s="6"/>
      <c r="G40" s="5"/>
      <c r="H40" s="6"/>
    </row>
    <row r="41" spans="1:8" x14ac:dyDescent="0.25">
      <c r="A41" s="12"/>
      <c r="B41" s="13" t="s">
        <v>11</v>
      </c>
      <c r="C41" s="14">
        <f t="shared" ref="C41:H41" si="1">AVERAGE(C32:C34)</f>
        <v>0.67386666666666672</v>
      </c>
      <c r="D41" s="15">
        <f t="shared" si="1"/>
        <v>8.1533333333333333E-2</v>
      </c>
      <c r="E41" s="16">
        <f t="shared" si="1"/>
        <v>0.3</v>
      </c>
      <c r="F41" s="15">
        <f t="shared" si="1"/>
        <v>0</v>
      </c>
      <c r="G41" s="16">
        <f t="shared" si="1"/>
        <v>0.34383333333333338</v>
      </c>
      <c r="H41" s="15">
        <f t="shared" si="1"/>
        <v>1.8133333333333335E-2</v>
      </c>
    </row>
    <row r="43" spans="1:8" x14ac:dyDescent="0.25">
      <c r="A43" s="21" t="s">
        <v>27</v>
      </c>
    </row>
    <row r="44" spans="1:8" x14ac:dyDescent="0.25">
      <c r="A44" s="12" t="s">
        <v>10</v>
      </c>
      <c r="B44" s="12" t="s">
        <v>9</v>
      </c>
      <c r="C44" s="17" t="s">
        <v>16</v>
      </c>
      <c r="D44" s="18" t="s">
        <v>17</v>
      </c>
      <c r="E44" s="17" t="s">
        <v>18</v>
      </c>
      <c r="F44" s="18" t="s">
        <v>19</v>
      </c>
      <c r="G44" s="17" t="s">
        <v>20</v>
      </c>
      <c r="H44" s="18" t="s">
        <v>21</v>
      </c>
    </row>
    <row r="45" spans="1:8" x14ac:dyDescent="0.25">
      <c r="A45" s="11">
        <v>35</v>
      </c>
      <c r="B45" s="11">
        <v>1</v>
      </c>
      <c r="C45" s="9">
        <v>0.37140000000000001</v>
      </c>
      <c r="D45" s="4">
        <v>2.86E-2</v>
      </c>
      <c r="E45" s="5"/>
      <c r="F45" s="6"/>
      <c r="G45" s="5"/>
      <c r="H45" s="6"/>
    </row>
    <row r="46" spans="1:8" x14ac:dyDescent="0.25">
      <c r="A46" s="11">
        <v>35</v>
      </c>
      <c r="B46" s="11">
        <v>2</v>
      </c>
      <c r="C46" s="9">
        <v>0.42859999999999998</v>
      </c>
      <c r="D46" s="4">
        <v>8.5699999999999998E-2</v>
      </c>
      <c r="E46" s="3">
        <v>0.4667</v>
      </c>
      <c r="F46" s="8">
        <v>6.6699999999999995E-2</v>
      </c>
      <c r="G46" s="3">
        <v>0.31730000000000003</v>
      </c>
      <c r="H46" s="8">
        <v>1.5299999999999999E-2</v>
      </c>
    </row>
    <row r="47" spans="1:8" x14ac:dyDescent="0.25">
      <c r="A47" s="11">
        <v>32</v>
      </c>
      <c r="B47" s="11">
        <v>3</v>
      </c>
      <c r="C47" s="9">
        <v>0.71879999999999999</v>
      </c>
      <c r="D47" s="8">
        <v>0.125</v>
      </c>
      <c r="E47" s="3">
        <v>0.83330000000000004</v>
      </c>
      <c r="F47" s="8">
        <v>0.16669999999999999</v>
      </c>
      <c r="G47" s="3">
        <v>0.32669999999999999</v>
      </c>
      <c r="H47" s="8">
        <v>1.9099999999999999E-2</v>
      </c>
    </row>
    <row r="48" spans="1:8" x14ac:dyDescent="0.25">
      <c r="A48" s="11">
        <v>9</v>
      </c>
      <c r="B48" s="11">
        <v>4</v>
      </c>
      <c r="C48" s="10">
        <v>0.88890000000000002</v>
      </c>
      <c r="D48" s="4">
        <v>0.33329999999999999</v>
      </c>
      <c r="E48" s="3">
        <v>0.75</v>
      </c>
      <c r="F48" s="8">
        <v>0</v>
      </c>
      <c r="G48" s="3">
        <v>0.38750000000000001</v>
      </c>
      <c r="H48" s="8">
        <v>0.02</v>
      </c>
    </row>
    <row r="49" spans="1:8" x14ac:dyDescent="0.25">
      <c r="A49" s="11"/>
      <c r="B49" s="11"/>
      <c r="C49" s="9"/>
      <c r="D49" s="4"/>
      <c r="E49" s="5"/>
      <c r="F49" s="6"/>
      <c r="G49" s="3"/>
      <c r="H49" s="6"/>
    </row>
    <row r="50" spans="1:8" x14ac:dyDescent="0.25">
      <c r="A50" s="11"/>
      <c r="B50" s="11"/>
      <c r="C50" s="10"/>
      <c r="D50" s="8"/>
      <c r="E50" s="5"/>
      <c r="F50" s="6"/>
      <c r="G50" s="5"/>
      <c r="H50" s="6"/>
    </row>
    <row r="51" spans="1:8" x14ac:dyDescent="0.25">
      <c r="A51" s="11"/>
      <c r="B51" s="11"/>
      <c r="C51" s="9"/>
      <c r="D51" s="4"/>
      <c r="E51" s="5"/>
      <c r="F51" s="6"/>
      <c r="G51" s="5"/>
      <c r="H51" s="6"/>
    </row>
    <row r="52" spans="1:8" x14ac:dyDescent="0.25">
      <c r="A52" s="11"/>
      <c r="B52" s="11"/>
      <c r="C52" s="9"/>
      <c r="D52" s="4"/>
      <c r="E52" s="5"/>
      <c r="F52" s="6"/>
      <c r="G52" s="5"/>
      <c r="H52" s="6"/>
    </row>
    <row r="53" spans="1:8" x14ac:dyDescent="0.25">
      <c r="A53" s="11"/>
      <c r="B53" s="11"/>
      <c r="C53" s="9"/>
      <c r="D53" s="8"/>
      <c r="E53" s="5"/>
      <c r="F53" s="6"/>
      <c r="G53" s="5"/>
      <c r="H53" s="6"/>
    </row>
    <row r="54" spans="1:8" x14ac:dyDescent="0.25">
      <c r="A54" s="11"/>
      <c r="B54" s="11"/>
      <c r="C54" s="9"/>
      <c r="D54" s="8"/>
      <c r="E54" s="5"/>
      <c r="F54" s="6"/>
      <c r="G54" s="5"/>
      <c r="H54" s="6"/>
    </row>
    <row r="55" spans="1:8" x14ac:dyDescent="0.25">
      <c r="A55" s="12"/>
      <c r="B55" s="13" t="s">
        <v>11</v>
      </c>
      <c r="C55" s="14">
        <f t="shared" ref="C55:H55" si="2">AVERAGE(C46:C48)</f>
        <v>0.67876666666666663</v>
      </c>
      <c r="D55" s="15">
        <f t="shared" si="2"/>
        <v>0.18133333333333335</v>
      </c>
      <c r="E55" s="16">
        <f t="shared" si="2"/>
        <v>0.68333333333333324</v>
      </c>
      <c r="F55" s="15">
        <f t="shared" si="2"/>
        <v>7.7799999999999994E-2</v>
      </c>
      <c r="G55" s="16">
        <f t="shared" si="2"/>
        <v>0.34383333333333338</v>
      </c>
      <c r="H55" s="15">
        <f t="shared" si="2"/>
        <v>1.8133333333333335E-2</v>
      </c>
    </row>
    <row r="57" spans="1:8" x14ac:dyDescent="0.25">
      <c r="A57" s="31" t="s">
        <v>9</v>
      </c>
      <c r="B57" s="32" t="s">
        <v>29</v>
      </c>
      <c r="C57" s="32"/>
      <c r="D57" s="32"/>
    </row>
    <row r="58" spans="1:8" x14ac:dyDescent="0.25">
      <c r="A58" s="31"/>
      <c r="B58" s="22" t="s">
        <v>28</v>
      </c>
      <c r="C58" s="22" t="s">
        <v>30</v>
      </c>
      <c r="D58" s="22" t="s">
        <v>4</v>
      </c>
      <c r="E58" s="30" t="s">
        <v>32</v>
      </c>
    </row>
    <row r="59" spans="1:8" x14ac:dyDescent="0.25">
      <c r="A59" s="11">
        <v>1</v>
      </c>
      <c r="B59" s="23">
        <v>0.31430000000000002</v>
      </c>
      <c r="C59" s="19">
        <v>0.46429999999999999</v>
      </c>
      <c r="D59" s="22"/>
      <c r="E59">
        <v>28</v>
      </c>
    </row>
    <row r="60" spans="1:8" x14ac:dyDescent="0.25">
      <c r="A60" s="11">
        <v>2</v>
      </c>
      <c r="B60" s="23">
        <v>0.51429999999999998</v>
      </c>
      <c r="C60" s="19">
        <v>0.57140000000000002</v>
      </c>
      <c r="D60" s="19">
        <v>0.31730000000000003</v>
      </c>
      <c r="E60" s="29">
        <v>28</v>
      </c>
    </row>
    <row r="61" spans="1:8" x14ac:dyDescent="0.25">
      <c r="A61" s="11">
        <v>3</v>
      </c>
      <c r="B61" s="23">
        <v>0.6875</v>
      </c>
      <c r="C61" s="19">
        <v>0.73909999999999998</v>
      </c>
      <c r="D61" s="19">
        <v>0.32669999999999999</v>
      </c>
      <c r="E61" s="29">
        <v>23</v>
      </c>
    </row>
    <row r="62" spans="1:8" x14ac:dyDescent="0.25">
      <c r="A62" s="11">
        <v>4</v>
      </c>
      <c r="B62" s="23">
        <v>0.78</v>
      </c>
      <c r="C62" s="19">
        <v>0.625</v>
      </c>
      <c r="D62" s="19">
        <v>0.38750000000000001</v>
      </c>
      <c r="E62" s="29">
        <v>8</v>
      </c>
    </row>
    <row r="63" spans="1:8" x14ac:dyDescent="0.25">
      <c r="A63" t="s">
        <v>31</v>
      </c>
      <c r="B63" s="28">
        <f>(B59*$A$45+B60*$A$46+B61*$A$47+B62*$A$48)/SUM($A$45:$A$48)</f>
        <v>0.52271171171171171</v>
      </c>
      <c r="C63" s="28">
        <f>(C59*$E$59+C60*$E$60+C61*$E$61+C62*$E$62)/SUM($E$59:$E$62)</f>
        <v>0.58619425287356319</v>
      </c>
      <c r="D63" s="28"/>
    </row>
    <row r="65" spans="1:8" x14ac:dyDescent="0.25">
      <c r="A65" s="33" t="s">
        <v>9</v>
      </c>
      <c r="B65" s="34" t="s">
        <v>33</v>
      </c>
      <c r="C65" s="34"/>
      <c r="D65" s="34"/>
    </row>
    <row r="66" spans="1:8" x14ac:dyDescent="0.25">
      <c r="A66" s="33"/>
      <c r="B66" s="27" t="s">
        <v>28</v>
      </c>
      <c r="C66" s="27" t="s">
        <v>30</v>
      </c>
      <c r="D66" s="27" t="s">
        <v>4</v>
      </c>
      <c r="E66">
        <f>B63*F66</f>
        <v>58.021000000000001</v>
      </c>
      <c r="F66">
        <f>SUM(A31:A34)</f>
        <v>111</v>
      </c>
      <c r="G66">
        <f>SUM(E59:E62)</f>
        <v>87</v>
      </c>
      <c r="H66">
        <f>G66*C63</f>
        <v>50.998899999999999</v>
      </c>
    </row>
    <row r="67" spans="1:8" x14ac:dyDescent="0.25">
      <c r="A67" s="24">
        <v>1</v>
      </c>
      <c r="B67" s="25">
        <v>0</v>
      </c>
      <c r="C67" s="26">
        <v>0.1071</v>
      </c>
      <c r="D67" s="27"/>
    </row>
    <row r="68" spans="1:8" x14ac:dyDescent="0.25">
      <c r="A68" s="24">
        <v>2</v>
      </c>
      <c r="B68" s="25">
        <v>8.5699999999999998E-2</v>
      </c>
      <c r="C68" s="26">
        <v>0.1071</v>
      </c>
      <c r="D68" s="26">
        <v>1.5299999999999999E-2</v>
      </c>
    </row>
    <row r="69" spans="1:8" x14ac:dyDescent="0.25">
      <c r="A69" s="24">
        <v>3</v>
      </c>
      <c r="B69" s="25">
        <v>0.125</v>
      </c>
      <c r="C69" s="26">
        <v>0.1739</v>
      </c>
      <c r="D69" s="26">
        <v>1.9099999999999999E-2</v>
      </c>
    </row>
    <row r="70" spans="1:8" x14ac:dyDescent="0.25">
      <c r="A70" s="24">
        <v>4</v>
      </c>
      <c r="B70" s="25">
        <v>0.22</v>
      </c>
      <c r="C70" s="26">
        <v>0.125</v>
      </c>
      <c r="D70" s="26">
        <v>0.02</v>
      </c>
    </row>
    <row r="71" spans="1:8" x14ac:dyDescent="0.25">
      <c r="A71" t="s">
        <v>31</v>
      </c>
      <c r="B71" s="28">
        <f>(B67*$A$45+B68*$A$46+B69*$A$47+B70*$A$48)/SUM($A$45:$A$48)</f>
        <v>8.0896396396396397E-2</v>
      </c>
      <c r="C71" s="28">
        <f>(C67*$E$59+C68*$E$60+C69*$E$61+C70*$E$62)/SUM($E$59:$E$62)</f>
        <v>0.12640574712643676</v>
      </c>
    </row>
  </sheetData>
  <mergeCells count="4">
    <mergeCell ref="A57:A58"/>
    <mergeCell ref="B57:D57"/>
    <mergeCell ref="A65:A66"/>
    <mergeCell ref="B65:D65"/>
  </mergeCells>
  <pageMargins left="0.7" right="0.7" top="0.75" bottom="0.75" header="0.3" footer="0.3"/>
  <ignoredErrors>
    <ignoredError sqref="C25:D2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Kao</dc:creator>
  <cp:lastModifiedBy>Christopher Kao</cp:lastModifiedBy>
  <dcterms:created xsi:type="dcterms:W3CDTF">2025-08-06T23:42:57Z</dcterms:created>
  <dcterms:modified xsi:type="dcterms:W3CDTF">2025-08-24T21:24:43Z</dcterms:modified>
</cp:coreProperties>
</file>